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cas\Documents\Cursos\Excel + IA Santander - DIO\DASHBOARD-PROJETO\"/>
    </mc:Choice>
  </mc:AlternateContent>
  <xr:revisionPtr revIDLastSave="0" documentId="13_ncr:1_{78476304-877E-43EA-99FC-D4F5710D0B41}" xr6:coauthVersionLast="47" xr6:coauthVersionMax="47" xr10:uidLastSave="{00000000-0000-0000-0000-000000000000}"/>
  <bookViews>
    <workbookView xWindow="-120" yWindow="-120" windowWidth="29040" windowHeight="16440" tabRatio="1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3" l="1"/>
  <c r="E23" i="3"/>
</calcChain>
</file>

<file path=xl/sharedStrings.xml><?xml version="1.0" encoding="utf-8"?>
<sst xmlns="http://schemas.openxmlformats.org/spreadsheetml/2006/main" count="2026" uniqueCount="326">
  <si>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</si>
  <si>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</si>
  <si>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</si>
  <si>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</si>
  <si>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</si>
  <si>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</si>
  <si>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</si>
  <si>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</si>
  <si>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</si>
  <si>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</si>
  <si>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</si>
  <si>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</si>
  <si>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</si>
  <si>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</si>
  <si>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</si>
  <si>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</si>
  <si>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</si>
  <si>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</si>
  <si>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</si>
  <si>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</si>
  <si>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</si>
  <si>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</si>
  <si>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</si>
  <si>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</si>
  <si>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</si>
  <si>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</si>
  <si>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</si>
  <si>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</si>
  <si>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</si>
  <si>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</si>
  <si>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</si>
  <si>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</si>
  <si>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</si>
  <si>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</si>
  <si>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</si>
  <si>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</si>
  <si>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</si>
  <si>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</si>
  <si>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</si>
  <si>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</si>
  <si>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</si>
  <si>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</si>
  <si>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</si>
  <si>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</si>
  <si>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</si>
  <si>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</si>
  <si>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</si>
  <si>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</si>
  <si>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</si>
  <si>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</si>
  <si>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</si>
  <si>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</si>
  <si>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</si>
  <si>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</si>
  <si>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</si>
  <si>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</si>
  <si>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</si>
  <si>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</si>
  <si>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</si>
  <si>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</si>
  <si>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</si>
  <si>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</si>
  <si>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</si>
  <si>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</si>
  <si>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</si>
  <si>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</si>
  <si>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</si>
  <si>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</si>
  <si>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</si>
  <si>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</si>
  <si>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</si>
  <si>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</si>
  <si>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</si>
  <si>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</si>
  <si>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</si>
  <si>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</si>
  <si>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</si>
  <si>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</si>
  <si>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</si>
  <si>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</si>
  <si>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</si>
  <si>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</si>
  <si>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</si>
  <si>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</si>
  <si>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</si>
  <si>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</si>
  <si>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</si>
  <si>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</si>
  <si>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</si>
  <si>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</si>
  <si>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</si>
  <si>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</si>
  <si>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</si>
  <si>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</si>
  <si>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</si>
  <si>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</si>
  <si>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</si>
  <si>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</si>
  <si>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</si>
  <si>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</si>
  <si>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</si>
  <si>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</si>
  <si>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</si>
  <si>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</si>
  <si>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</si>
  <si>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</si>
  <si>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</si>
  <si>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</si>
  <si>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</si>
  <si>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</si>
  <si>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</si>
  <si>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</si>
  <si>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</si>
  <si>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</si>
  <si>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</si>
  <si>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</si>
  <si>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</si>
  <si>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</si>
  <si>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</si>
  <si>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</si>
  <si>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</si>
  <si>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</si>
  <si>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</si>
  <si>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</si>
  <si>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</si>
  <si>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</si>
  <si>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</si>
  <si>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</si>
  <si>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</si>
  <si>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</si>
  <si>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</si>
  <si>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</si>
  <si>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</si>
  <si>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</si>
  <si>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</si>
  <si>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</si>
  <si>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</si>
  <si>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</si>
  <si>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</si>
  <si>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</si>
  <si>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</si>
  <si>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</si>
  <si>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</si>
  <si>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</si>
  <si>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</si>
  <si>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</si>
  <si>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</si>
  <si>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</si>
  <si>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</si>
  <si>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</si>
  <si>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</si>
  <si>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</si>
  <si>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</si>
  <si>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</si>
  <si>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</si>
  <si>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</si>
  <si>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</si>
  <si>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</si>
  <si>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</si>
  <si>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</si>
  <si>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</si>
  <si>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</si>
  <si>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</si>
  <si>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</si>
  <si>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</si>
  <si>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</si>
  <si>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</si>
  <si>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</si>
  <si>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</si>
  <si>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</si>
  <si>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</si>
  <si>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</si>
  <si>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</si>
  <si>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</si>
  <si>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</si>
  <si>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</si>
  <si>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</si>
  <si>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</si>
  <si>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</si>
  <si>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</si>
  <si>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</si>
  <si>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</si>
  <si>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</si>
  <si>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</si>
  <si>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</si>
  <si>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</si>
  <si>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</si>
  <si>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</si>
  <si>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</si>
  <si>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</si>
  <si>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</si>
  <si>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</si>
  <si>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</si>
  <si>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</si>
  <si>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</si>
  <si>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</si>
  <si>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</si>
  <si>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</si>
  <si>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</si>
  <si>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</si>
  <si>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</si>
  <si>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</si>
  <si>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</si>
  <si>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</si>
  <si>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</si>
  <si>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</si>
  <si>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</si>
  <si>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</si>
  <si>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</si>
  <si>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</si>
  <si>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</si>
  <si>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</si>
  <si>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</si>
  <si>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</si>
  <si>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</si>
  <si>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</si>
  <si>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</si>
  <si>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</si>
  <si>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</si>
  <si>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</si>
  <si>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</si>
  <si>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</si>
  <si>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</si>
  <si>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</si>
  <si>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</si>
  <si>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</si>
  <si>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</si>
  <si>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</si>
  <si>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</si>
  <si>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</si>
  <si>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</si>
  <si>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</si>
  <si>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</si>
  <si>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</si>
  <si>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</si>
  <si>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</si>
  <si>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</si>
  <si>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</si>
  <si>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</si>
  <si>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</si>
  <si>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</si>
  <si>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</si>
  <si>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</si>
  <si>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</si>
  <si>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</si>
  <si>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</si>
  <si>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</si>
  <si>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</si>
  <si>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</si>
  <si>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</si>
  <si>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</si>
  <si>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</si>
  <si>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</si>
  <si>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</si>
  <si>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</si>
  <si>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</si>
  <si>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</si>
  <si>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</si>
  <si>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</si>
  <si>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</si>
  <si>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</si>
  <si>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</si>
  <si>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</si>
  <si>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</si>
  <si>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</si>
  <si>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</si>
  <si>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</si>
  <si>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</si>
  <si>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</si>
  <si>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</si>
  <si>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</si>
  <si>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</si>
  <si>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</si>
  <si>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</si>
  <si>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</si>
  <si>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</si>
  <si>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</si>
  <si>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</si>
  <si>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</si>
  <si>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</si>
  <si>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</si>
  <si>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</si>
  <si>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</si>
  <si>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</si>
  <si>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</si>
  <si>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</si>
  <si>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</si>
  <si>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</si>
  <si>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</si>
  <si>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</si>
  <si>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</si>
  <si>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</si>
  <si>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</si>
  <si>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</si>
  <si>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</si>
  <si>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</si>
  <si>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</si>
  <si>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</si>
  <si>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</si>
  <si>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</si>
  <si>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</si>
  <si>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</si>
  <si>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</si>
  <si>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</si>
  <si>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</si>
  <si>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</si>
  <si>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</si>
  <si>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</si>
  <si>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</si>
  <si>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</si>
  <si>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</si>
  <si>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</si>
  <si>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</si>
  <si>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</si>
  <si>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</si>
  <si>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</si>
  <si>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1 - Qual o faturalmento total de vendas dos planos anuais (com todas as vendas agregada)</t>
  </si>
  <si>
    <t>Pergunta de negócio 2 - Qual o faturamento total de vendas dos planos anuais separados por auto renovação</t>
  </si>
  <si>
    <t>XBOX GAME PASS SUBSCRIPTIONS SALES</t>
  </si>
  <si>
    <t>Pergunta de negócio 3 - Total de Vendas de assinaturas EA PLAY</t>
  </si>
  <si>
    <t>Soma de EA Play Season Pass</t>
  </si>
  <si>
    <t>Pergunta de negócio 4 - Total de Vendas da assinatura MINECRAFT SEASON PASS</t>
  </si>
  <si>
    <t>Soma de Minecraft Season Pass Price</t>
  </si>
  <si>
    <t>Qual o total de vendas por plano</t>
  </si>
  <si>
    <t xml:space="preserve">pergunta de negocio 5 - Do total de vendas quantas foram </t>
  </si>
  <si>
    <t>Período de apuração: 01/01/2024 - 31/12/2024 | Última atualização: 14/02/2026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</si>
</sst>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22C55E"/>
      <name val="Aptos Narrow"/>
      <family val="2"/>
      <scheme val="minor"/>
    </font>
    <font>
      <b/>
      <sz val="20"/>
      <color rgb="FF22C55E"/>
      <name val="Segoe UI Black"/>
      <family val="2"/>
    </font>
    <font>
      <sz val="12"/>
      <color theme="2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0" fontId="5" fillId="0" borderId="2" xfId="1" applyFont="1" applyBorder="1" applyAlignment="1">
      <alignment vertical="top"/>
    </xf>
    <xf numFmtId="0" fontId="4" fillId="0" borderId="2" xfId="1" applyFont="1" applyBorder="1" applyAlignment="1">
      <alignment vertical="top"/>
    </xf>
    <xf numFmtId="0" fontId="6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1"/>
        <color theme="0" tint="-4.9989318521683403E-2"/>
        <name val="Segoe UI Emoji"/>
        <family val="2"/>
        <scheme val="none"/>
      </font>
    </dxf>
    <dxf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_dados_xbox" pivot="0" table="0" count="8" xr9:uid="{75FCCCCA-96F5-461F-8E8A-06CF05C6FB12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F7F8FC"/>
      <color rgb="FF9BC848"/>
      <color rgb="FFE8E6E9"/>
      <color rgb="FF000000"/>
      <color rgb="FFE0E0E0"/>
      <color rgb="FFEDEDED"/>
      <color rgb="FFE70011"/>
    </mruColors>
  </colors>
  <extLst>
    <ext xmlns:x14="http://schemas.microsoft.com/office/spreadsheetml/2009/9/main" uri="{46F421CA-312F-682f-3DD2-61675219B42D}">
      <x14:dxfs count="6">
        <dxf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rgb="FF92D05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rgb="FF92D05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rgb="FF92D05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Estilo_dados_xbox">
        <x14:slicerStyle name="Estilo_dados_xbox">
          <x14:slicerStyleElements>
            <x14:slicerStyleElement type="unselectedItemWith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[BASE_DE_DADOS.xlsx]C̳álculos!tbl_anual_total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C̳álculos!$C$12:$C$14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C̳álculos!$D$12:$D$14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C-4B4C-A9ED-A205FCFA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887904"/>
        <c:axId val="99892584"/>
      </c:barChart>
      <c:catAx>
        <c:axId val="99887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892584"/>
        <c:crosses val="autoZero"/>
        <c:auto val="1"/>
        <c:lblAlgn val="ctr"/>
        <c:lblOffset val="100"/>
        <c:noMultiLvlLbl val="0"/>
      </c:catAx>
      <c:valAx>
        <c:axId val="9989258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988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[BASE_DE_DADOS.xlsx]C̳álculos!tbl_totalValue_plan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B05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C̳álculos!$C$39:$C$42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C̳álculos!$D$39:$D$42</c:f>
              <c:numCache>
                <c:formatCode>_("R$"* #,##0.00_);_("R$"* \(#,##0.00\);_("R$"* "-"??_);_(@_)</c:formatCode>
                <c:ptCount val="3"/>
                <c:pt idx="0">
                  <c:v>192</c:v>
                </c:pt>
                <c:pt idx="1">
                  <c:v>958</c:v>
                </c:pt>
                <c:pt idx="2">
                  <c:v>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7-46D6-A92F-58C40C959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6991848"/>
        <c:axId val="556988968"/>
      </c:barChart>
      <c:catAx>
        <c:axId val="556991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988968"/>
        <c:crosses val="autoZero"/>
        <c:auto val="1"/>
        <c:lblAlgn val="ctr"/>
        <c:lblOffset val="100"/>
        <c:noMultiLvlLbl val="0"/>
      </c:catAx>
      <c:valAx>
        <c:axId val="55698896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569918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chart" Target="../charts/chart2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15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15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627062</xdr:colOff>
      <xdr:row>1</xdr:row>
      <xdr:rowOff>41010</xdr:rowOff>
    </xdr:from>
    <xdr:to>
      <xdr:col>0</xdr:col>
      <xdr:colOff>1341438</xdr:colOff>
      <xdr:row>3</xdr:row>
      <xdr:rowOff>64822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52F194-3E57-473B-8F7C-92E96A9D95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25" t="15142" r="71123" b="23127"/>
        <a:stretch>
          <a:fillRect/>
        </a:stretch>
      </xdr:blipFill>
      <xdr:spPr>
        <a:xfrm>
          <a:off x="627062" y="231510"/>
          <a:ext cx="714376" cy="627062"/>
        </a:xfrm>
        <a:prstGeom prst="rect">
          <a:avLst/>
        </a:prstGeom>
      </xdr:spPr>
    </xdr:pic>
    <xdr:clientData/>
  </xdr:twoCellAnchor>
  <xdr:twoCellAnchor editAs="absolute">
    <xdr:from>
      <xdr:col>0</xdr:col>
      <xdr:colOff>95249</xdr:colOff>
      <xdr:row>12</xdr:row>
      <xdr:rowOff>26456</xdr:rowOff>
    </xdr:from>
    <xdr:to>
      <xdr:col>0</xdr:col>
      <xdr:colOff>2169582</xdr:colOff>
      <xdr:row>26</xdr:row>
      <xdr:rowOff>33071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A2D67BDD-2601-4E32-89F5-81DCD7250B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49" y="2629956"/>
              <a:ext cx="2074333" cy="2673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89960</xdr:colOff>
      <xdr:row>6</xdr:row>
      <xdr:rowOff>63499</xdr:rowOff>
    </xdr:from>
    <xdr:to>
      <xdr:col>9</xdr:col>
      <xdr:colOff>291044</xdr:colOff>
      <xdr:row>15</xdr:row>
      <xdr:rowOff>126999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051DE4D6-2C73-B79E-52B2-257F6EC0EA57}"/>
            </a:ext>
          </a:extLst>
        </xdr:cNvPr>
        <xdr:cNvGrpSpPr/>
      </xdr:nvGrpSpPr>
      <xdr:grpSpPr>
        <a:xfrm>
          <a:off x="2333627" y="1291166"/>
          <a:ext cx="4741334" cy="2010833"/>
          <a:chOff x="3227916" y="1227667"/>
          <a:chExt cx="4741334" cy="2010833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134FB7F2-5F85-E571-2EEC-B8EC8B16B66A}"/>
              </a:ext>
            </a:extLst>
          </xdr:cNvPr>
          <xdr:cNvSpPr/>
        </xdr:nvSpPr>
        <xdr:spPr>
          <a:xfrm>
            <a:off x="3227916" y="1227667"/>
            <a:ext cx="4741333" cy="2010833"/>
          </a:xfrm>
          <a:prstGeom prst="roundRect">
            <a:avLst>
              <a:gd name="adj" fmla="val 124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3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5B2967E-4A85-415C-8329-CC949CB5BCE4}"/>
              </a:ext>
            </a:extLst>
          </xdr:cNvPr>
          <xdr:cNvSpPr/>
        </xdr:nvSpPr>
        <xdr:spPr>
          <a:xfrm>
            <a:off x="5027084" y="1833031"/>
            <a:ext cx="2734732" cy="101600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D68E844-1170-41A5-8FCD-640C590EE5BF}" type="TxLink">
              <a:rPr lang="en-US" sz="2400" b="0" i="0" u="none" strike="noStrike">
                <a:solidFill>
                  <a:srgbClr val="2AE6B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pPr algn="ctr"/>
              <a:t>R$ 1.350,00</a:t>
            </a:fld>
            <a:endParaRPr lang="pt-BR" sz="2400">
              <a:solidFill>
                <a:srgbClr val="2AE6B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3CFABA01-4C47-4411-AA75-CFD2AF05A7C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37" t="26041" r="1910" b="30557"/>
          <a:stretch>
            <a:fillRect/>
          </a:stretch>
        </xdr:blipFill>
        <xdr:spPr>
          <a:xfrm>
            <a:off x="3608918" y="2076449"/>
            <a:ext cx="1174750" cy="529167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8D944F96-96BA-6974-BFD6-033C0E7BE0AE}"/>
              </a:ext>
            </a:extLst>
          </xdr:cNvPr>
          <xdr:cNvSpPr/>
        </xdr:nvSpPr>
        <xdr:spPr>
          <a:xfrm>
            <a:off x="3227917" y="1227667"/>
            <a:ext cx="4741333" cy="444500"/>
          </a:xfrm>
          <a:prstGeom prst="round2SameRect">
            <a:avLst>
              <a:gd name="adj1" fmla="val 38096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</a:t>
            </a:r>
            <a:r>
              <a:rPr lang="pt-BR" sz="1400" baseline="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SUBSCRIPTIONS EA PLAY SEASON PASS</a:t>
            </a:r>
            <a:endParaRPr lang="pt-BR" sz="14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379947</xdr:colOff>
      <xdr:row>6</xdr:row>
      <xdr:rowOff>63499</xdr:rowOff>
    </xdr:from>
    <xdr:to>
      <xdr:col>18</xdr:col>
      <xdr:colOff>390531</xdr:colOff>
      <xdr:row>15</xdr:row>
      <xdr:rowOff>126999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981F546B-CFE6-6ED2-01F2-D19EBE853349}"/>
            </a:ext>
          </a:extLst>
        </xdr:cNvPr>
        <xdr:cNvGrpSpPr/>
      </xdr:nvGrpSpPr>
      <xdr:grpSpPr>
        <a:xfrm>
          <a:off x="7777697" y="1291166"/>
          <a:ext cx="4741334" cy="2010833"/>
          <a:chOff x="8793694" y="1274234"/>
          <a:chExt cx="4741334" cy="2010833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338E0BFD-A915-38DD-513C-6D2FD8A3A0CE}"/>
              </a:ext>
            </a:extLst>
          </xdr:cNvPr>
          <xdr:cNvSpPr/>
        </xdr:nvSpPr>
        <xdr:spPr>
          <a:xfrm>
            <a:off x="8793694" y="1274234"/>
            <a:ext cx="4741333" cy="2010833"/>
          </a:xfrm>
          <a:prstGeom prst="roundRect">
            <a:avLst>
              <a:gd name="adj" fmla="val 124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3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DAAA0CD9-B776-4DE6-32E2-CAFF81FF3B96}"/>
              </a:ext>
            </a:extLst>
          </xdr:cNvPr>
          <xdr:cNvSpPr/>
        </xdr:nvSpPr>
        <xdr:spPr>
          <a:xfrm>
            <a:off x="10592862" y="1879598"/>
            <a:ext cx="2734732" cy="101600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6185D33-EAE8-4D12-BDC2-E8F88F842959}" type="TxLink">
              <a:rPr lang="en-US" sz="2400" b="0" i="0" u="none" strike="noStrike">
                <a:solidFill>
                  <a:srgbClr val="2AE6B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pPr algn="ctr"/>
              <a:t>R$ 1.800,00</a:t>
            </a:fld>
            <a:endParaRPr lang="en-US">
              <a:solidFill>
                <a:srgbClr val="2AE6B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24625503-7C2B-B896-C62C-7A0D3759E302}"/>
              </a:ext>
            </a:extLst>
          </xdr:cNvPr>
          <xdr:cNvSpPr/>
        </xdr:nvSpPr>
        <xdr:spPr>
          <a:xfrm>
            <a:off x="8793695" y="1274234"/>
            <a:ext cx="4741333" cy="444500"/>
          </a:xfrm>
          <a:prstGeom prst="round2SameRect">
            <a:avLst>
              <a:gd name="adj1" fmla="val 38096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TOTAL</a:t>
            </a:r>
            <a:r>
              <a:rPr lang="pt-BR" sz="1400" baseline="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SUBSCRIPTIONS MINECRAFT SEASON PASS</a:t>
            </a:r>
            <a:endParaRPr lang="pt-BR" sz="14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1667A256-2A4A-476D-802F-7477FAE0C672}"/>
              </a:ext>
            </a:extLst>
          </xdr:cNvPr>
          <xdr:cNvGrpSpPr/>
        </xdr:nvGrpSpPr>
        <xdr:grpSpPr>
          <a:xfrm>
            <a:off x="9302750" y="2038349"/>
            <a:ext cx="1327226" cy="698500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1B450FEC-3C3B-9D4D-23CE-23F5E06322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B949D5EC-71B2-2BA2-D7AC-0D5CB0448F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89960</xdr:colOff>
      <xdr:row>16</xdr:row>
      <xdr:rowOff>177282</xdr:rowOff>
    </xdr:from>
    <xdr:to>
      <xdr:col>18</xdr:col>
      <xdr:colOff>444500</xdr:colOff>
      <xdr:row>34</xdr:row>
      <xdr:rowOff>12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7A6778F-DC67-2122-3058-602DDB5A7A4A}"/>
            </a:ext>
          </a:extLst>
        </xdr:cNvPr>
        <xdr:cNvGrpSpPr/>
      </xdr:nvGrpSpPr>
      <xdr:grpSpPr>
        <a:xfrm>
          <a:off x="2333627" y="3542782"/>
          <a:ext cx="10239373" cy="3251730"/>
          <a:chOff x="2333627" y="6167438"/>
          <a:chExt cx="5582707" cy="325173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13A1105E-DE1F-6D14-4825-B4E1C483914E}"/>
              </a:ext>
            </a:extLst>
          </xdr:cNvPr>
          <xdr:cNvSpPr/>
        </xdr:nvSpPr>
        <xdr:spPr>
          <a:xfrm>
            <a:off x="2333627" y="6167438"/>
            <a:ext cx="5582706" cy="3251730"/>
          </a:xfrm>
          <a:prstGeom prst="roundRect">
            <a:avLst>
              <a:gd name="adj" fmla="val 1242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afico_Renovacao">
            <a:extLst>
              <a:ext uri="{FF2B5EF4-FFF2-40B4-BE49-F238E27FC236}">
                <a16:creationId xmlns:a16="http://schemas.microsoft.com/office/drawing/2014/main" id="{317F01BE-8D9D-454A-AFB0-34FBC96944AA}"/>
              </a:ext>
            </a:extLst>
          </xdr:cNvPr>
          <xdr:cNvGraphicFramePr>
            <a:graphicFrameLocks/>
          </xdr:cNvGraphicFramePr>
        </xdr:nvGraphicFramePr>
        <xdr:xfrm>
          <a:off x="2488632" y="6297121"/>
          <a:ext cx="5163606" cy="29520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BADAAB8E-68F7-76F9-BD3E-A4B79272D89D}"/>
              </a:ext>
            </a:extLst>
          </xdr:cNvPr>
          <xdr:cNvSpPr/>
        </xdr:nvSpPr>
        <xdr:spPr>
          <a:xfrm>
            <a:off x="2338918" y="6170083"/>
            <a:ext cx="5577416" cy="391583"/>
          </a:xfrm>
          <a:prstGeom prst="round2SameRect">
            <a:avLst>
              <a:gd name="adj1" fmla="val 40991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OPTION</a:t>
            </a:r>
            <a:r>
              <a:rPr lang="pt-BR" sz="1400" baseline="0">
                <a:solidFill>
                  <a:schemeClr val="tx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FOR AUTO RENEWAL</a:t>
            </a:r>
            <a:endParaRPr lang="pt-BR" sz="14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  <xdr:twoCellAnchor editAs="absolute">
    <xdr:from>
      <xdr:col>19</xdr:col>
      <xdr:colOff>63514</xdr:colOff>
      <xdr:row>6</xdr:row>
      <xdr:rowOff>63499</xdr:rowOff>
    </xdr:from>
    <xdr:to>
      <xdr:col>27</xdr:col>
      <xdr:colOff>433930</xdr:colOff>
      <xdr:row>22</xdr:row>
      <xdr:rowOff>127000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48957925-562E-FA3D-4A71-5396677CE2E5}"/>
            </a:ext>
          </a:extLst>
        </xdr:cNvPr>
        <xdr:cNvGrpSpPr/>
      </xdr:nvGrpSpPr>
      <xdr:grpSpPr>
        <a:xfrm>
          <a:off x="12805847" y="1291166"/>
          <a:ext cx="5281083" cy="3344334"/>
          <a:chOff x="9895417" y="5270499"/>
          <a:chExt cx="5281083" cy="3344334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F67C510A-EF49-6008-17B1-8530D0FAA5B2}"/>
              </a:ext>
            </a:extLst>
          </xdr:cNvPr>
          <xdr:cNvSpPr/>
        </xdr:nvSpPr>
        <xdr:spPr>
          <a:xfrm>
            <a:off x="9895417" y="5291667"/>
            <a:ext cx="5281083" cy="332316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3" name="Grafico_TotalVenda">
            <a:extLst>
              <a:ext uri="{FF2B5EF4-FFF2-40B4-BE49-F238E27FC236}">
                <a16:creationId xmlns:a16="http://schemas.microsoft.com/office/drawing/2014/main" id="{40F4E814-93E8-4A99-AC93-6F9B4730930A}"/>
              </a:ext>
            </a:extLst>
          </xdr:cNvPr>
          <xdr:cNvGraphicFramePr>
            <a:graphicFrameLocks/>
          </xdr:cNvGraphicFramePr>
        </xdr:nvGraphicFramePr>
        <xdr:xfrm>
          <a:off x="10287001" y="5831415"/>
          <a:ext cx="4529666" cy="24680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79522E9E-F009-ED66-831F-5278C7CA2AA0}"/>
              </a:ext>
            </a:extLst>
          </xdr:cNvPr>
          <xdr:cNvSpPr/>
        </xdr:nvSpPr>
        <xdr:spPr>
          <a:xfrm>
            <a:off x="9895417" y="5270499"/>
            <a:ext cx="5281083" cy="518583"/>
          </a:xfrm>
          <a:prstGeom prst="round2SameRect">
            <a:avLst>
              <a:gd name="adj1" fmla="val 45238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140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TOTAL VALUE PER PLAN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Amaral Santos" refreshedDate="46064.91001284722" createdVersion="8" refreshedVersion="8" minRefreshableVersion="3" recordCount="295" xr:uid="{65329492-4197-4129-A6D8-F01292A2AD7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735150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88ECC-EF29-4F49-AFAE-B4E3AC1076F9}" name="tbl_minecraft_season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29:D33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F23AD-E792-40CA-8DD3-53EDD2B63271}" name="tbl_eaplay_season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20:D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7" item="1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43EA7-C915-43D5-B4C0-C2071A048667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C11:D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65179-5BF1-4ED7-BB0F-1F6955B185B7}" name="tbl_totalValue_pla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C38:D42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54BE2F5-D2D2-4FAC-BDB1-EBC1E9192E0D}" sourceName="Subscription Type">
  <pivotTables>
    <pivotTable tabId="3" name="tbl_anual_total"/>
    <pivotTable tabId="3" name="tbl_eaplay_seasonpass"/>
    <pivotTable tabId="3" name="tbl_minecraft_seasonpass"/>
    <pivotTable tabId="3" name="tbl_totalValue_plan"/>
  </pivotTables>
  <data>
    <tabular pivotCacheId="1873515018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8E78A891-5997-4DB3-8AED-4C9D641BBE5F}" cache="SegmentaçãodeDados_Subscription_Type" caption="Subscription Typ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6">
      <filters>
        <filter val="Monthly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C39" sqref="C3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39" sqref="C3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4:E42"/>
  <sheetViews>
    <sheetView topLeftCell="A16" workbookViewId="0">
      <selection activeCell="C39" sqref="C39"/>
    </sheetView>
  </sheetViews>
  <sheetFormatPr defaultRowHeight="15" x14ac:dyDescent="0.25"/>
  <cols>
    <col min="3" max="3" width="18.42578125" bestFit="1" customWidth="1"/>
    <col min="4" max="4" width="19.28515625" bestFit="1" customWidth="1"/>
    <col min="5" max="5" width="37.7109375" bestFit="1" customWidth="1"/>
    <col min="6" max="6" width="8.7109375" bestFit="1" customWidth="1"/>
    <col min="7" max="7" width="10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3:4" x14ac:dyDescent="0.25">
      <c r="C4" t="s">
        <v>316</v>
      </c>
    </row>
    <row r="7" spans="3:4" x14ac:dyDescent="0.25">
      <c r="C7" t="s">
        <v>317</v>
      </c>
    </row>
    <row r="9" spans="3:4" x14ac:dyDescent="0.25">
      <c r="C9" s="12" t="s">
        <v>16</v>
      </c>
      <c r="D9" t="s">
        <v>20</v>
      </c>
    </row>
    <row r="11" spans="3:4" x14ac:dyDescent="0.25">
      <c r="C11" s="12" t="s">
        <v>313</v>
      </c>
      <c r="D11" t="s">
        <v>315</v>
      </c>
    </row>
    <row r="12" spans="3:4" x14ac:dyDescent="0.25">
      <c r="C12" s="13" t="s">
        <v>23</v>
      </c>
      <c r="D12" s="14">
        <v>2824</v>
      </c>
    </row>
    <row r="13" spans="3:4" x14ac:dyDescent="0.25">
      <c r="C13" s="13" t="s">
        <v>19</v>
      </c>
      <c r="D13" s="14">
        <v>747</v>
      </c>
    </row>
    <row r="14" spans="3:4" x14ac:dyDescent="0.25">
      <c r="C14" s="13" t="s">
        <v>314</v>
      </c>
      <c r="D14" s="14">
        <v>3571</v>
      </c>
    </row>
    <row r="16" spans="3:4" x14ac:dyDescent="0.25">
      <c r="C16" s="13" t="s">
        <v>319</v>
      </c>
    </row>
    <row r="18" spans="3:5" x14ac:dyDescent="0.25">
      <c r="C18" s="12" t="s">
        <v>309</v>
      </c>
      <c r="D18" t="s">
        <v>19</v>
      </c>
    </row>
    <row r="20" spans="3:5" x14ac:dyDescent="0.25">
      <c r="C20" s="12" t="s">
        <v>313</v>
      </c>
      <c r="D20" t="s">
        <v>320</v>
      </c>
    </row>
    <row r="21" spans="3:5" x14ac:dyDescent="0.25">
      <c r="C21" s="13" t="s">
        <v>18</v>
      </c>
      <c r="D21">
        <v>1350</v>
      </c>
    </row>
    <row r="22" spans="3:5" x14ac:dyDescent="0.25">
      <c r="C22" s="13" t="s">
        <v>314</v>
      </c>
      <c r="D22">
        <v>1350</v>
      </c>
    </row>
    <row r="23" spans="3:5" x14ac:dyDescent="0.25">
      <c r="E23" s="15">
        <f>GETPIVOTDATA("EA Play Season Pass
Price",$C$20)</f>
        <v>1350</v>
      </c>
    </row>
    <row r="25" spans="3:5" x14ac:dyDescent="0.25">
      <c r="C25" t="s">
        <v>321</v>
      </c>
    </row>
    <row r="29" spans="3:5" x14ac:dyDescent="0.25">
      <c r="C29" s="12" t="s">
        <v>313</v>
      </c>
      <c r="D29" t="s">
        <v>322</v>
      </c>
    </row>
    <row r="30" spans="3:5" x14ac:dyDescent="0.25">
      <c r="C30" s="13" t="s">
        <v>22</v>
      </c>
      <c r="D30" s="14">
        <v>0</v>
      </c>
    </row>
    <row r="31" spans="3:5" x14ac:dyDescent="0.25">
      <c r="C31" s="13" t="s">
        <v>26</v>
      </c>
      <c r="D31" s="14">
        <v>900</v>
      </c>
    </row>
    <row r="32" spans="3:5" x14ac:dyDescent="0.25">
      <c r="C32" s="13" t="s">
        <v>18</v>
      </c>
      <c r="D32" s="14">
        <v>900</v>
      </c>
    </row>
    <row r="33" spans="3:5" x14ac:dyDescent="0.25">
      <c r="C33" s="13" t="s">
        <v>314</v>
      </c>
      <c r="D33" s="14">
        <v>1800</v>
      </c>
      <c r="E33" s="15">
        <f>GETPIVOTDATA("Minecraft Season Pass Price",$C$29)</f>
        <v>1800</v>
      </c>
    </row>
    <row r="36" spans="3:5" x14ac:dyDescent="0.25">
      <c r="C36" s="13" t="s">
        <v>324</v>
      </c>
      <c r="D36" t="s">
        <v>323</v>
      </c>
    </row>
    <row r="38" spans="3:5" x14ac:dyDescent="0.25">
      <c r="C38" s="12" t="s">
        <v>313</v>
      </c>
      <c r="D38" t="s">
        <v>315</v>
      </c>
    </row>
    <row r="39" spans="3:5" x14ac:dyDescent="0.25">
      <c r="C39" s="13" t="s">
        <v>22</v>
      </c>
      <c r="D39" s="14">
        <v>192</v>
      </c>
    </row>
    <row r="40" spans="3:5" x14ac:dyDescent="0.25">
      <c r="C40" s="13" t="s">
        <v>26</v>
      </c>
      <c r="D40" s="14">
        <v>958</v>
      </c>
    </row>
    <row r="41" spans="3:5" x14ac:dyDescent="0.25">
      <c r="C41" s="13" t="s">
        <v>18</v>
      </c>
      <c r="D41" s="14">
        <v>2421</v>
      </c>
    </row>
    <row r="42" spans="3:5" x14ac:dyDescent="0.25">
      <c r="C42" s="13" t="s">
        <v>314</v>
      </c>
      <c r="D42" s="14">
        <v>3571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S292"/>
  <sheetViews>
    <sheetView showGridLines="0" showRowColHeaders="0" tabSelected="1" zoomScale="90" zoomScaleNormal="90" workbookViewId="0">
      <selection activeCell="Y31" sqref="Y31"/>
    </sheetView>
  </sheetViews>
  <sheetFormatPr defaultRowHeight="15" x14ac:dyDescent="0.25"/>
  <cols>
    <col min="1" max="1" width="33.5703125" style="4" customWidth="1"/>
    <col min="2" max="2" width="3.5703125" customWidth="1"/>
    <col min="12" max="12" width="6.5703125" customWidth="1"/>
  </cols>
  <sheetData>
    <row r="2" spans="2:45" ht="39" customHeight="1" thickBot="1" x14ac:dyDescent="0.3">
      <c r="D2" s="16" t="s">
        <v>318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2:45" ht="8.25" customHeight="1" thickTop="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 spans="2:45" ht="7.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</row>
    <row r="5" spans="2:45" ht="16.5" customHeight="1" x14ac:dyDescent="0.25">
      <c r="B5" s="7"/>
      <c r="C5" s="18" t="s">
        <v>325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</row>
    <row r="6" spans="2:45" ht="9.7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2:45" ht="33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</row>
    <row r="8" spans="2:45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</row>
    <row r="9" spans="2:45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</row>
    <row r="10" spans="2:45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</row>
    <row r="11" spans="2:45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</row>
    <row r="12" spans="2:45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</row>
    <row r="13" spans="2:45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2:45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2:45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2:45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</row>
    <row r="17" spans="2:45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</row>
    <row r="18" spans="2:45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</row>
    <row r="19" spans="2:45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</row>
    <row r="20" spans="2:45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1" spans="2:45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spans="2:45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spans="2:4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2:4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2:45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</row>
    <row r="26" spans="2:45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</row>
    <row r="27" spans="2:45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</row>
    <row r="28" spans="2:45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</row>
    <row r="29" spans="2:45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</row>
    <row r="30" spans="2:45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</row>
    <row r="31" spans="2:45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</row>
    <row r="32" spans="2:4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</row>
    <row r="33" spans="2:4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2:45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</row>
    <row r="35" spans="2:45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</row>
    <row r="36" spans="2:45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</row>
    <row r="37" spans="2:45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</row>
    <row r="38" spans="2:45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</row>
    <row r="39" spans="2:45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</row>
    <row r="40" spans="2:45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</row>
    <row r="41" spans="2:4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</row>
    <row r="42" spans="2:4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2:45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</row>
    <row r="44" spans="2:45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</row>
    <row r="45" spans="2:45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</row>
    <row r="46" spans="2:45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</row>
    <row r="47" spans="2:45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</row>
    <row r="48" spans="2:45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</row>
    <row r="49" spans="2:45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</row>
    <row r="50" spans="2:4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</row>
    <row r="51" spans="2:4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</row>
    <row r="52" spans="2:45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2:45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</row>
    <row r="54" spans="2:45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spans="2:45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</row>
    <row r="56" spans="2:45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2:45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spans="2:45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2:4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2:4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2:45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</row>
    <row r="62" spans="2:45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2:45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spans="2:45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2:45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2:45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2:45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2:4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2:4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2:4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2:4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2:45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spans="2:45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2:45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2:45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spans="2:45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spans="2:4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spans="2:4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spans="2:45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spans="2:45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spans="2:45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spans="2:45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2:45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</row>
    <row r="84" spans="2:45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</row>
    <row r="85" spans="2:45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</row>
    <row r="86" spans="2:4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</row>
    <row r="87" spans="2:4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</row>
    <row r="88" spans="2:45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</row>
    <row r="89" spans="2:45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</row>
    <row r="90" spans="2:45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</row>
    <row r="91" spans="2:45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2:45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</row>
    <row r="93" spans="2:45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</row>
    <row r="94" spans="2:45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</row>
    <row r="95" spans="2:4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</row>
    <row r="96" spans="2:4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</row>
    <row r="97" spans="2:45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</row>
    <row r="98" spans="2:45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</row>
    <row r="99" spans="2:45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</row>
    <row r="100" spans="2:45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2:45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</row>
    <row r="102" spans="2:45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</row>
    <row r="103" spans="2:45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</row>
    <row r="104" spans="2:4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</row>
    <row r="105" spans="2:4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</row>
    <row r="106" spans="2:45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</row>
    <row r="107" spans="2:45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</row>
    <row r="108" spans="2:45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</row>
    <row r="109" spans="2:45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2:45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</row>
    <row r="111" spans="2:45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</row>
    <row r="112" spans="2:45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</row>
    <row r="113" spans="2:4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</row>
    <row r="114" spans="2:4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</row>
    <row r="115" spans="2:45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</row>
    <row r="116" spans="2:45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</row>
    <row r="117" spans="2:45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</row>
    <row r="118" spans="2:45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2:45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</row>
    <row r="120" spans="2:45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</row>
    <row r="121" spans="2:45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</row>
    <row r="122" spans="2:4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</row>
    <row r="123" spans="2:4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</row>
    <row r="124" spans="2:45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</row>
    <row r="125" spans="2:45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</row>
    <row r="126" spans="2:45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</row>
    <row r="127" spans="2:45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</row>
    <row r="128" spans="2:45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2:45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</row>
    <row r="130" spans="2:45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</row>
    <row r="131" spans="2:45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</row>
    <row r="132" spans="2:45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2:45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</row>
    <row r="134" spans="2:45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</row>
    <row r="135" spans="2:45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</row>
    <row r="136" spans="2:45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</row>
    <row r="137" spans="2:45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</row>
    <row r="138" spans="2:45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</row>
    <row r="139" spans="2:45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</row>
    <row r="140" spans="2:45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</row>
    <row r="141" spans="2:45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</row>
    <row r="142" spans="2:45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</row>
    <row r="143" spans="2:45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</row>
    <row r="144" spans="2:45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</row>
    <row r="145" spans="2:45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</row>
    <row r="146" spans="2:45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</row>
    <row r="147" spans="2:45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</row>
    <row r="148" spans="2:45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</row>
    <row r="149" spans="2:45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</row>
    <row r="150" spans="2:45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</row>
    <row r="151" spans="2:45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</row>
    <row r="152" spans="2:45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</row>
    <row r="153" spans="2:45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</row>
    <row r="154" spans="2:45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</row>
    <row r="155" spans="2:45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</row>
    <row r="156" spans="2:45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</row>
    <row r="157" spans="2:45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</row>
    <row r="158" spans="2:45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</row>
    <row r="159" spans="2:45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</row>
    <row r="160" spans="2:45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</row>
    <row r="161" spans="2:45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</row>
    <row r="162" spans="2:45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</row>
    <row r="163" spans="2:45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</row>
    <row r="164" spans="2:45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</row>
    <row r="165" spans="2:45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</row>
    <row r="166" spans="2:45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</row>
    <row r="167" spans="2:45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</row>
    <row r="168" spans="2:45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</row>
    <row r="169" spans="2:45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</row>
    <row r="170" spans="2:45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</row>
    <row r="171" spans="2:45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</row>
    <row r="172" spans="2:45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</row>
    <row r="173" spans="2:45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</row>
    <row r="174" spans="2:45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</row>
    <row r="175" spans="2:45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</row>
    <row r="176" spans="2:45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</row>
    <row r="177" spans="2:45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</row>
    <row r="178" spans="2:45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</row>
    <row r="179" spans="2:45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</row>
    <row r="180" spans="2:45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</row>
    <row r="181" spans="2:45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</row>
    <row r="182" spans="2:45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</row>
    <row r="183" spans="2:45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</row>
    <row r="184" spans="2:45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</row>
    <row r="185" spans="2:45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</row>
    <row r="186" spans="2:45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</row>
    <row r="187" spans="2:45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</row>
    <row r="188" spans="2:45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</row>
    <row r="189" spans="2:45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</row>
    <row r="190" spans="2:45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</row>
    <row r="191" spans="2:45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</row>
    <row r="192" spans="2:45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</row>
    <row r="193" spans="2:45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</row>
    <row r="194" spans="2:45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</row>
    <row r="195" spans="2:45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</row>
    <row r="196" spans="2:45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</row>
    <row r="197" spans="2:45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</row>
    <row r="198" spans="2:45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</row>
    <row r="199" spans="2:45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</row>
    <row r="200" spans="2:45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</row>
    <row r="201" spans="2:45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</row>
    <row r="202" spans="2:45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</row>
    <row r="203" spans="2:45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</row>
    <row r="204" spans="2:45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</row>
    <row r="205" spans="2:45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</row>
    <row r="206" spans="2:45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</row>
    <row r="207" spans="2:45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</row>
    <row r="208" spans="2:45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</row>
    <row r="209" spans="2:45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</row>
    <row r="210" spans="2:45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</row>
    <row r="211" spans="2:45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</row>
    <row r="212" spans="2:45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</row>
    <row r="213" spans="2:45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</row>
    <row r="214" spans="2:45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</row>
    <row r="215" spans="2:45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</row>
    <row r="216" spans="2:45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</row>
    <row r="217" spans="2:45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</row>
    <row r="218" spans="2:45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</row>
    <row r="219" spans="2:45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</row>
    <row r="220" spans="2:45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</row>
    <row r="221" spans="2:45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</row>
    <row r="222" spans="2:45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</row>
    <row r="223" spans="2:45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</row>
    <row r="224" spans="2:45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</row>
    <row r="225" spans="2:45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</row>
    <row r="226" spans="2:45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</row>
    <row r="227" spans="2:45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</row>
    <row r="228" spans="2:45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</row>
    <row r="229" spans="2:45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</row>
    <row r="230" spans="2:45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</row>
    <row r="231" spans="2:45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</row>
    <row r="232" spans="2:45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</row>
    <row r="233" spans="2:45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</row>
    <row r="234" spans="2:45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</row>
    <row r="235" spans="2:45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</row>
    <row r="236" spans="2:45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</row>
    <row r="237" spans="2:45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</row>
    <row r="238" spans="2:45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</row>
    <row r="239" spans="2:45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</row>
    <row r="240" spans="2:45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</row>
    <row r="241" spans="2:45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</row>
    <row r="242" spans="2:45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</row>
    <row r="243" spans="2:45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</row>
    <row r="244" spans="2:45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</row>
    <row r="245" spans="2:45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</row>
    <row r="246" spans="2:45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</row>
    <row r="247" spans="2:45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</row>
    <row r="248" spans="2:45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</row>
    <row r="249" spans="2:45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</row>
    <row r="250" spans="2:45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</row>
    <row r="251" spans="2:45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</row>
    <row r="252" spans="2:45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</row>
    <row r="253" spans="2:45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</row>
    <row r="254" spans="2:45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</row>
    <row r="255" spans="2:45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</row>
    <row r="256" spans="2:45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</row>
    <row r="257" spans="2:45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</row>
    <row r="258" spans="2:45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</row>
    <row r="259" spans="2:45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</row>
    <row r="260" spans="2:45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</row>
    <row r="261" spans="2:45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</row>
    <row r="262" spans="2:45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</row>
    <row r="263" spans="2:45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</row>
    <row r="264" spans="2:45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</row>
    <row r="265" spans="2:45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</row>
    <row r="266" spans="2:45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</row>
    <row r="267" spans="2:45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</row>
    <row r="268" spans="2:45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</row>
    <row r="269" spans="2:45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</row>
    <row r="270" spans="2:45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</row>
    <row r="271" spans="2:45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</row>
    <row r="272" spans="2:45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</row>
    <row r="273" spans="2:45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</row>
    <row r="274" spans="2:45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</row>
    <row r="275" spans="2:45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</row>
    <row r="276" spans="2:45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</row>
    <row r="277" spans="2:45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</row>
    <row r="278" spans="2:45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</row>
    <row r="279" spans="2:45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</row>
    <row r="280" spans="2:45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</row>
    <row r="281" spans="2:45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</row>
    <row r="282" spans="2:45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</row>
    <row r="283" spans="2:45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</row>
    <row r="284" spans="2:45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</row>
    <row r="285" spans="2:45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</row>
    <row r="286" spans="2:45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</row>
    <row r="287" spans="2:45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</row>
    <row r="288" spans="2:45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</row>
    <row r="289" spans="2:45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</row>
    <row r="290" spans="2:45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</row>
    <row r="291" spans="2:45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</row>
    <row r="292" spans="2:45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Lucas Amaral Santos</cp:lastModifiedBy>
  <dcterms:created xsi:type="dcterms:W3CDTF">2024-12-19T13:13:10Z</dcterms:created>
  <dcterms:modified xsi:type="dcterms:W3CDTF">2026-02-14T19:32:54Z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